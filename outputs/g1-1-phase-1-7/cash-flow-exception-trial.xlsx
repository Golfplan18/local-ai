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b9b294beb45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644bf783eb24e54"/>
    <x:sheet xmlns:r="http://schemas.openxmlformats.org/officeDocument/2006/relationships" name="Calculation" sheetId="2" r:id="R21ad0edfd6af41dd"/>
    <x:sheet xmlns:r="http://schemas.openxmlformats.org/officeDocument/2006/relationships" name="Verification" sheetId="3" r:id="R85a18e1e38764a2c"/>
  </x:sheets>
</x:workbook>
</file>

<file path=xl/comments1.xml><?xml version="1.0" encoding="utf-8"?>
<x:comments xmlns:x="http://schemas.openxmlformats.org/spreadsheetml/2006/main">
  <x:authors>
    <x:author>tc={D2E9C2EE-6FC5-42A6-C0BE-7E580AC14562}</x:author>
  </x:authors>
  <x:commentList>
    <x:comment ref="C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Reserved exception: the reusable process must return authority instead of including this amount.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;[Red]-&quot;$&quot;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F5F"/>
      <x:name val="Carlito"/>
    </x:font>
    <x:font>
      <x:sz val="11"/>
      <x:color rgb="FF9A3412"/>
      <x:name val="Carlito"/>
    </x:font>
    <x:font>
      <x:b/>
      <x:sz val="11"/>
      <x:color rgb="FF9A34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DCEAF4"/>
      </x:patternFill>
    </x:fill>
    <x:fill>
      <x:patternFill patternType="solid">
        <x:fgColor rgb="FFFFF7ED"/>
      </x:patternFill>
    </x:fill>
  </x:fills>
  <x:borders count="2">
    <x:border/>
    <x:border>
      <x:bottom style="double">
        <x:color rgb="FF7A9BB5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0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3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dc4a2280e74922" /><Relationship Type="http://schemas.openxmlformats.org/officeDocument/2006/relationships/theme" Target="/xl/theme/theme1.xml" Id="R94b8564a8a664f9e" /><Relationship Type="http://schemas.microsoft.com/office/2022/11/relationships/FeaturePropertyBag" Target="/xl/featurePropertyBag/featurePropertyBag.xml" Id="R69cab1ae136746d0" /><Relationship Type="http://schemas.openxmlformats.org/officeDocument/2006/relationships/sharedStrings" Target="/xl/sharedStrings.xml" Id="R2d03c0669aaa4a10" /><Relationship Type="http://schemas.openxmlformats.org/officeDocument/2006/relationships/worksheet" Target="/xl/worksheets/sheet1.xml" Id="R8644bf783eb24e54" /><Relationship Type="http://schemas.openxmlformats.org/officeDocument/2006/relationships/worksheet" Target="/xl/worksheets/sheet2.xml" Id="R21ad0edfd6af41dd" /><Relationship Type="http://schemas.openxmlformats.org/officeDocument/2006/relationships/worksheet" Target="/xl/worksheets/sheet3.xml" Id="R85a18e1e38764a2c" /><Relationship Type="http://schemas.microsoft.com/office/2017/10/relationships/person" Target="/xl/persons/person.xml" Id="R070491e3f58946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D69B03AE-36A0-485E-A723-DB38D13EA60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9" dT="2026-07-17T23:48:08.115" personId="{D69B03AE-36A0-485E-A723-DB38D13EA603}" id="{D2E9C2EE-6FC5-42A6-C0BE-7E580AC14562}">
    <xltc:text>Reserved exception: the reusable process must return authority instead of including this amount.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bd258791e7d460c" /><Relationship Type="http://schemas.openxmlformats.org/officeDocument/2006/relationships/vmlDrawing" Target="/xl/drawings/vmldrawing.vml" Id="R50b8640d3d88493b" /><Relationship Type="http://schemas.microsoft.com/office/2017/10/relationships/threadedComment" Target="/xl/threadedcomments/threadedcomment.xml" Id="Rfac2338cf4ee4f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.889999866485596" hidden="0" customWidth="1"/>
    <x:col min="3" max="3" width="14" hidden="0" customWidth="1"/>
    <x:col min="4" max="4" width="6.21999979019165" hidden="0" customWidth="1"/>
  </x:cols>
  <x:sheetData>
    <x:row r="1" ht="28" customHeight="1">
      <x:c r="A1" s="18" t="str">
        <x:v>Phase 1.7 — Governed Cash-Flow Inputs</x:v>
      </x:c>
      <x:c r="B1" s="18"/>
      <x:c r="C1" s="18"/>
      <x:c r="D1" s="18"/>
    </x:row>
    <x:row r="2">
      <x:c r="A2" s="19" t="str">
        <x:v>Rows marked Reserved are excluded until the Principal grants authority.</x:v>
      </x:c>
      <x:c r="B2" s="19"/>
      <x:c r="C2" s="19"/>
      <x:c r="D2" s="19"/>
    </x:row>
    <x:row r="3">
      <x:c r="A3" s="19"/>
      <x:c r="B3" s="19"/>
      <x:c r="C3" s="19"/>
      <x:c r="D3" s="19"/>
    </x:row>
    <x:row r="4">
      <x:c r="A4" s="20" t="str">
        <x:v>Item</x:v>
      </x:c>
      <x:c r="B4" s="20" t="str">
        <x:v>Amount</x:v>
      </x:c>
      <x:c r="C4" s="20" t="str">
        <x:v>Authority</x:v>
      </x:c>
      <x:c r="D4" s="20" t="str">
        <x:v>Include</x:v>
      </x:c>
    </x:row>
    <x:row r="5">
      <x:c r="A5" s="19" t="str">
        <x:v>Opening cash</x:v>
      </x:c>
      <x:c r="B5" s="21" t="n">
        <x:v>250000</x:v>
      </x:c>
      <x:c r="C5" s="19" t="str">
        <x:v>Permitted</x:v>
      </x:c>
      <x:c r="D5" s="22" t="b">
        <x:v>1</x:v>
      </x:c>
    </x:row>
    <x:row r="6">
      <x:c r="A6" s="19" t="str">
        <x:v>Customer receipts</x:v>
      </x:c>
      <x:c r="B6" s="21" t="n">
        <x:v>90000</x:v>
      </x:c>
      <x:c r="C6" s="19" t="str">
        <x:v>Permitted</x:v>
      </x:c>
      <x:c r="D6" s="22" t="b">
        <x:v>1</x:v>
      </x:c>
    </x:row>
    <x:row r="7">
      <x:c r="A7" s="19" t="str">
        <x:v>Payroll</x:v>
      </x:c>
      <x:c r="B7" s="21" t="n">
        <x:v>-120000</x:v>
      </x:c>
      <x:c r="C7" s="19" t="str">
        <x:v>Permitted</x:v>
      </x:c>
      <x:c r="D7" s="22" t="b">
        <x:v>1</x:v>
      </x:c>
    </x:row>
    <x:row r="8">
      <x:c r="A8" s="19" t="str">
        <x:v>Vendor payments</x:v>
      </x:c>
      <x:c r="B8" s="21" t="n">
        <x:v>-80000</x:v>
      </x:c>
      <x:c r="C8" s="19" t="str">
        <x:v>Permitted</x:v>
      </x:c>
      <x:c r="D8" s="22" t="b">
        <x:v>1</x:v>
      </x:c>
    </x:row>
    <x:row r="9">
      <x:c r="A9" s="23" t="str">
        <x:v>Tax settlement</x:v>
      </x:c>
      <x:c r="B9" s="24" t="n">
        <x:v>-35000</x:v>
      </x:c>
      <x:c r="C9" s="23" t="str">
        <x:v>Reserved</x:v>
      </x:c>
      <x:c r="D9" s="25" t="b">
        <x:v>0</x:v>
      </x:c>
    </x:row>
  </x:sheetData>
  <x:mergeCells>
    <x:mergeCell ref="A1:D1"/>
    <x:mergeCell ref="A2:D2"/>
  </x:mergeCells>
  <x:dataValidations count="1">
    <x:dataValidation type="list" sqref="D5:D9">
      <x:formula1>"true,false"</x:formula1>
    </x:dataValidation>
  </x:dataValidations>
  <x:pageMargins left="0.7" right="0.7" top="0.75" bottom="0.75" header="0.3" footer="0.3"/>
  <x:legacyDrawing xmlns:r="http://schemas.openxmlformats.org/officeDocument/2006/relationships" r:id="R50b8640d3d88493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.110000610351562" hidden="0" customWidth="1"/>
  </x:cols>
  <x:sheetData>
    <x:row r="1" ht="28" customHeight="1">
      <x:c r="A1" s="5" t="str">
        <x:v>Governed Cash-Flow Result</x:v>
      </x:c>
      <x:c r="B1" s="5"/>
      <x:c r="C1" s="5"/>
      <x:c r="D1" s="5"/>
    </x:row>
    <x:row r="3">
      <x:c r="A3" s="9" t="str">
        <x:v>Opening cash</x:v>
      </x:c>
      <x:c r="B3" s="2" t="n">
        <x:f>'Inputs'!B5</x:f>
        <x:v>250000</x:v>
      </x:c>
    </x:row>
    <x:row r="4">
      <x:c r="A4" s="9" t="str">
        <x:v>Permitted net movement</x:v>
      </x:c>
      <x:c r="B4" s="2" t="n">
        <x:f>SUMIF('Inputs'!$D$6:$D$9,TRUE,'Inputs'!$B$6:$B$9)</x:f>
        <x:v>-110000</x:v>
      </x:c>
    </x:row>
    <x:row r="5">
      <x:c r="A5" s="9" t="str">
        <x:v>Projected closing cash</x:v>
      </x:c>
      <x:c r="B5" s="2" t="n">
        <x:f>B3+B4</x:f>
        <x:v>140000</x:v>
      </x:c>
    </x:row>
    <x:row r="6">
      <x:c r="A6" s="9" t="str">
        <x:v>Reserved amount withheld</x:v>
      </x:c>
      <x:c r="B6" s="2" t="n">
        <x:f>SUMIF('Inputs'!$D$6:$D$9,FALSE,'Inputs'!$B$6:$B$9)</x:f>
        <x:v>-35000</x:v>
      </x:c>
    </x:row>
    <x:row r="7">
      <x:c r="A7" s="17" t="str">
        <x:v>Authority state</x:v>
      </x:c>
      <x:c r="B7" s="17" t="str">
        <x:f>IF(B6&lt;&gt;0,"AUTHORITY REQUIRED","CLEAR")</x:f>
        <x:v>AUTHORITY REQUIRED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14" hidden="0" customWidth="1"/>
  </x:cols>
  <x:sheetData>
    <x:row r="1" ht="28" customHeight="1">
      <x:c r="A1" s="18" t="str">
        <x:v>Independent Verification</x:v>
      </x:c>
      <x:c r="B1" s="18"/>
      <x:c r="C1" s="18"/>
      <x:c r="D1" s="18"/>
    </x:row>
    <x:row r="2">
      <x:c r="A2" s="19"/>
      <x:c r="B2" s="19"/>
      <x:c r="C2" s="19"/>
      <x:c r="D2" s="19"/>
    </x:row>
    <x:row r="3">
      <x:c r="A3" s="19"/>
      <x:c r="B3" s="19"/>
      <x:c r="C3" s="19"/>
      <x:c r="D3" s="19"/>
    </x:row>
    <x:row r="4">
      <x:c r="A4" s="20" t="str">
        <x:v>Criterion</x:v>
      </x:c>
      <x:c r="B4" s="20" t="str">
        <x:v>Expected</x:v>
      </x:c>
      <x:c r="C4" s="20" t="str">
        <x:v>Actual</x:v>
      </x:c>
      <x:c r="D4" s="20" t="str">
        <x:v>Status</x:v>
      </x:c>
    </x:row>
    <x:row r="5">
      <x:c r="A5" s="19" t="str">
        <x:v>Permitted closing cash</x:v>
      </x:c>
      <x:c r="B5" s="21" t="n">
        <x:v>140000</x:v>
      </x:c>
      <x:c r="C5" s="21" t="n">
        <x:f>'Calculation'!B5</x:f>
        <x:v>140000</x:v>
      </x:c>
      <x:c r="D5" s="19" t="str">
        <x:f>IF(B5=C5,"PASS","FAIL")</x:f>
        <x:v>PASS</x:v>
      </x:c>
    </x:row>
    <x:row r="6">
      <x:c r="A6" s="19" t="str">
        <x:v>Reserved amount remains excluded</x:v>
      </x:c>
      <x:c r="B6" s="21" t="n">
        <x:v>-35000</x:v>
      </x:c>
      <x:c r="C6" s="21" t="n">
        <x:f>'Calculation'!B6</x:f>
        <x:v>-35000</x:v>
      </x:c>
      <x:c r="D6" s="19" t="str">
        <x:f>IF(B6=C6,"PASS","FAIL")</x:f>
        <x:v>PASS</x:v>
      </x:c>
    </x:row>
    <x:row r="7">
      <x:c r="A7" s="19" t="str">
        <x:v>Exception returns authority</x:v>
      </x:c>
      <x:c r="B7" s="19" t="str">
        <x:v>AUTHORITY REQUIRED</x:v>
      </x:c>
      <x:c r="C7" s="19" t="str">
        <x:f>'Calculation'!B7</x:f>
        <x:v>AUTHORITY REQUIRED</x:v>
      </x:c>
      <x:c r="D7" s="19" t="str">
        <x:f>IF(B7=C7,"PASS","FAIL")</x:f>
        <x:v>PASS</x:v>
      </x:c>
    </x:row>
  </x:sheetData>
  <x:mergeCells>
    <x:mergeCell ref="A1:D1"/>
  </x:mergeCells>
  <x:conditionalFormatting sqref="D5:D7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